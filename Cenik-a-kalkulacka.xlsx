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ník" sheetId="1" state="visible" r:id="rId3"/>
    <sheet name="Kalkulačk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<sst xmlns="http://schemas.openxmlformats.org/spreadsheetml/2006/main" count="81" uniqueCount="69">
  <si>
    <t xml:space="preserve">Ceník půjčovného — stropní bednění</t>
  </si>
  <si>
    <t xml:space="preserve">Region sever Čech · ceny v Kč BEZ DPH (plátce DPH 21 %) · pracovní návrh, sazby uprav podle skutečných nákladů</t>
  </si>
  <si>
    <t xml:space="preserve">1) Komponenty — sazba za kus / den (Kč bez DPH)</t>
  </si>
  <si>
    <t xml:space="preserve">Položka</t>
  </si>
  <si>
    <t xml:space="preserve">Jednotka</t>
  </si>
  <si>
    <t xml:space="preserve">1–5 dní</t>
  </si>
  <si>
    <t xml:space="preserve">6–20 dní</t>
  </si>
  <si>
    <t xml:space="preserve">20+ dní</t>
  </si>
  <si>
    <t xml:space="preserve">Kauce/ks</t>
  </si>
  <si>
    <t xml:space="preserve">Stojka stropní 250 cm</t>
  </si>
  <si>
    <t xml:space="preserve">ks</t>
  </si>
  <si>
    <t xml:space="preserve">Stojka stropní 300 cm</t>
  </si>
  <si>
    <t xml:space="preserve">Stojka stropní 400 cm</t>
  </si>
  <si>
    <t xml:space="preserve">Stojka stropní 500 cm</t>
  </si>
  <si>
    <t xml:space="preserve">Trojnožka (stativ)</t>
  </si>
  <si>
    <t xml:space="preserve">Křížová hlava</t>
  </si>
  <si>
    <t xml:space="preserve">Přímá (spouštěcí) hlava</t>
  </si>
  <si>
    <t xml:space="preserve">Nosník H20 / GT24</t>
  </si>
  <si>
    <t xml:space="preserve">bm</t>
  </si>
  <si>
    <t xml:space="preserve">Bednicí deska (překližka)</t>
  </si>
  <si>
    <t xml:space="preserve">m²</t>
  </si>
  <si>
    <t xml:space="preserve">T-PLEX deska (pohledový beton)</t>
  </si>
  <si>
    <t xml:space="preserve">2) Kompletní sestava — sazba za m² stropu / den (Kč bez DPH)</t>
  </si>
  <si>
    <t xml:space="preserve">Varianta</t>
  </si>
  <si>
    <t xml:space="preserve">Kompletní stropní bednění (vč. stojek, nosníků, desek)</t>
  </si>
  <si>
    <t xml:space="preserve">3) Doplňkové služby a podmínky</t>
  </si>
  <si>
    <t xml:space="preserve">Doprava na stavbu (jednosměr)</t>
  </si>
  <si>
    <t xml:space="preserve">Kč/km</t>
  </si>
  <si>
    <t xml:space="preserve">do 50 km zdarma při zakázce nad 5 000 Kč</t>
  </si>
  <si>
    <t xml:space="preserve">Montáž bednění</t>
  </si>
  <si>
    <t xml:space="preserve">Kč/m²</t>
  </si>
  <si>
    <t xml:space="preserve">postavení sestavy naší partou</t>
  </si>
  <si>
    <t xml:space="preserve">Odbednění (demontáž)</t>
  </si>
  <si>
    <t xml:space="preserve">rozebrání a naložení</t>
  </si>
  <si>
    <t xml:space="preserve">Poradenství + kladecí plán</t>
  </si>
  <si>
    <t xml:space="preserve">—</t>
  </si>
  <si>
    <t xml:space="preserve">ZDARMA — návrh sestavy z výkresu stropu</t>
  </si>
  <si>
    <t xml:space="preserve">Minimální půjčovné</t>
  </si>
  <si>
    <t xml:space="preserve">Kč</t>
  </si>
  <si>
    <t xml:space="preserve">za jednu výpůjčku, bez DPH</t>
  </si>
  <si>
    <t xml:space="preserve">Modré = vstupy k úpravě · žluté = klíčové sazby pro kalkulačku</t>
  </si>
  <si>
    <t xml:space="preserve">Kalkulačka pronájmu stropního bednění</t>
  </si>
  <si>
    <t xml:space="preserve">Vyplň modré buňky. Výsledek se přepočítá automaticky. Sazby tahá z listu Ceník.</t>
  </si>
  <si>
    <t xml:space="preserve">VSTUPY</t>
  </si>
  <si>
    <t xml:space="preserve">Plocha stropu (m²)</t>
  </si>
  <si>
    <t xml:space="preserve">Počet dní pronájmu</t>
  </si>
  <si>
    <t xml:space="preserve">Vzdálenost na stavbu (km, jedním směrem)</t>
  </si>
  <si>
    <t xml:space="preserve">Doprava tam i zpět? (1 = ano, 0 = ne)</t>
  </si>
  <si>
    <t xml:space="preserve">Montáž naší partou? (1 = ano, 0 = ne)</t>
  </si>
  <si>
    <t xml:space="preserve">VÝPOČET (bez DPH)</t>
  </si>
  <si>
    <t xml:space="preserve">Denní sazba (Kč/m²/den dle pásma)</t>
  </si>
  <si>
    <t xml:space="preserve">Pronájem bednění (plocha × sazba × dní)</t>
  </si>
  <si>
    <t xml:space="preserve">Doprava</t>
  </si>
  <si>
    <t xml:space="preserve">Montáž + odbednění</t>
  </si>
  <si>
    <t xml:space="preserve">Mezisoučet (po kontrole minima)</t>
  </si>
  <si>
    <t xml:space="preserve">DPH 21 %</t>
  </si>
  <si>
    <t xml:space="preserve">CELKEM s DPH</t>
  </si>
  <si>
    <t xml:space="preserve">ODHAD SPOTŘEBY BEDNĚNÍ (informativně, koeficienty na m²)</t>
  </si>
  <si>
    <t xml:space="preserve">Množství</t>
  </si>
  <si>
    <t xml:space="preserve">Koef./m²</t>
  </si>
  <si>
    <t xml:space="preserve">Pozn.</t>
  </si>
  <si>
    <t xml:space="preserve">Stojky</t>
  </si>
  <si>
    <t xml:space="preserve">včetně trojnožek pod hlavními</t>
  </si>
  <si>
    <t xml:space="preserve">Trojnožky (stativy)</t>
  </si>
  <si>
    <t xml:space="preserve">Nosníky H20/GT24</t>
  </si>
  <si>
    <t xml:space="preserve">primární + sekundární rošt</t>
  </si>
  <si>
    <t xml:space="preserve">Bednicí desky</t>
  </si>
  <si>
    <t xml:space="preserve">+10 % na přesahy</t>
  </si>
  <si>
    <t xml:space="preserve">Koeficienty jsou orientační (benchmark Novák ~100 m²). Uprav podle reálné sestavy a výšky podepření.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</si>
</sst>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&quot; Kč&quot;"/>
    <numFmt numFmtId="166" formatCode="#,##0&quot; Kč&quot;"/>
    <numFmt numFmtId="167" formatCode="#,##0.0&quot; Kč&quot;"/>
    <numFmt numFmtId="168" formatCode="#,##0"/>
    <numFmt numFmtId="169" formatCode="#,##0&quot; ks&quot;"/>
    <numFmt numFmtId="170" formatCode="0.0"/>
    <numFmt numFmtId="171" formatCode="#,##0&quot; bm&quot;"/>
    <numFmt numFmtId="172" formatCode="#,##0&quot; m²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C0392B"/>
        <bgColor rgb="FF993366"/>
      </patternFill>
    </fill>
    <fill>
      <patternFill patternType="solid">
        <fgColor rgb="FFFFFFFF"/>
        <bgColor rgb="FFF4F7FB"/>
      </patternFill>
    </fill>
    <fill>
      <patternFill patternType="solid">
        <fgColor rgb="FFF4F7FB"/>
        <bgColor rgb="FFEAF1F8"/>
      </patternFill>
    </fill>
    <fill>
      <patternFill patternType="solid">
        <fgColor rgb="FFFFF6CC"/>
        <bgColor rgb="FFF4F7FB"/>
      </patternFill>
    </fill>
    <fill>
      <patternFill patternType="solid">
        <fgColor rgb="FFEAF1F8"/>
        <bgColor rgb="FFF4F7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7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5" min="3" style="0" width="13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8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7" t="n">
        <v>4</v>
      </c>
      <c r="D6" s="7" t="n">
        <v>3</v>
      </c>
      <c r="E6" s="7" t="n">
        <v>2.5</v>
      </c>
      <c r="F6" s="8" t="n">
        <v>200</v>
      </c>
    </row>
    <row r="7" customFormat="false" ht="15" hidden="false" customHeight="false" outlineLevel="0" collapsed="false">
      <c r="A7" s="9" t="s">
        <v>11</v>
      </c>
      <c r="B7" s="10" t="s">
        <v>10</v>
      </c>
      <c r="C7" s="11" t="n">
        <v>5</v>
      </c>
      <c r="D7" s="11" t="n">
        <v>4</v>
      </c>
      <c r="E7" s="11" t="n">
        <v>3</v>
      </c>
      <c r="F7" s="12" t="n">
        <v>200</v>
      </c>
    </row>
    <row r="8" customFormat="false" ht="15" hidden="false" customHeight="false" outlineLevel="0" collapsed="false">
      <c r="A8" s="5" t="s">
        <v>12</v>
      </c>
      <c r="B8" s="6" t="s">
        <v>10</v>
      </c>
      <c r="C8" s="7" t="n">
        <v>6</v>
      </c>
      <c r="D8" s="7" t="n">
        <v>5</v>
      </c>
      <c r="E8" s="7" t="n">
        <v>4</v>
      </c>
      <c r="F8" s="8" t="n">
        <v>250</v>
      </c>
    </row>
    <row r="9" customFormat="false" ht="15" hidden="false" customHeight="false" outlineLevel="0" collapsed="false">
      <c r="A9" s="9" t="s">
        <v>13</v>
      </c>
      <c r="B9" s="10" t="s">
        <v>10</v>
      </c>
      <c r="C9" s="11" t="n">
        <v>8</v>
      </c>
      <c r="D9" s="11" t="n">
        <v>6</v>
      </c>
      <c r="E9" s="11" t="n">
        <v>5</v>
      </c>
      <c r="F9" s="12" t="n">
        <v>300</v>
      </c>
    </row>
    <row r="10" customFormat="false" ht="15" hidden="false" customHeight="false" outlineLevel="0" collapsed="false">
      <c r="A10" s="5" t="s">
        <v>14</v>
      </c>
      <c r="B10" s="6" t="s">
        <v>10</v>
      </c>
      <c r="C10" s="7" t="n">
        <v>3</v>
      </c>
      <c r="D10" s="7" t="n">
        <v>2.5</v>
      </c>
      <c r="E10" s="7" t="n">
        <v>2</v>
      </c>
      <c r="F10" s="8" t="n">
        <v>150</v>
      </c>
    </row>
    <row r="11" customFormat="false" ht="15" hidden="false" customHeight="false" outlineLevel="0" collapsed="false">
      <c r="A11" s="9" t="s">
        <v>15</v>
      </c>
      <c r="B11" s="10" t="s">
        <v>10</v>
      </c>
      <c r="C11" s="11" t="n">
        <v>1</v>
      </c>
      <c r="D11" s="11" t="n">
        <v>0.8</v>
      </c>
      <c r="E11" s="11" t="n">
        <v>0.6</v>
      </c>
      <c r="F11" s="12" t="n">
        <v>50</v>
      </c>
    </row>
    <row r="12" customFormat="false" ht="15" hidden="false" customHeight="false" outlineLevel="0" collapsed="false">
      <c r="A12" s="5" t="s">
        <v>16</v>
      </c>
      <c r="B12" s="6" t="s">
        <v>10</v>
      </c>
      <c r="C12" s="7" t="n">
        <v>0.8</v>
      </c>
      <c r="D12" s="7" t="n">
        <v>0.6</v>
      </c>
      <c r="E12" s="7" t="n">
        <v>0.5</v>
      </c>
      <c r="F12" s="8" t="n">
        <v>50</v>
      </c>
    </row>
    <row r="13" customFormat="false" ht="15" hidden="false" customHeight="false" outlineLevel="0" collapsed="false">
      <c r="A13" s="9" t="s">
        <v>17</v>
      </c>
      <c r="B13" s="10" t="s">
        <v>18</v>
      </c>
      <c r="C13" s="11" t="n">
        <v>1</v>
      </c>
      <c r="D13" s="11" t="n">
        <v>0.8</v>
      </c>
      <c r="E13" s="11" t="n">
        <v>0.6</v>
      </c>
      <c r="F13" s="12" t="n">
        <v>80</v>
      </c>
    </row>
    <row r="14" customFormat="false" ht="15" hidden="false" customHeight="false" outlineLevel="0" collapsed="false">
      <c r="A14" s="5" t="s">
        <v>19</v>
      </c>
      <c r="B14" s="6" t="s">
        <v>20</v>
      </c>
      <c r="C14" s="7" t="n">
        <v>6</v>
      </c>
      <c r="D14" s="7" t="n">
        <v>5</v>
      </c>
      <c r="E14" s="7" t="n">
        <v>3.5</v>
      </c>
      <c r="F14" s="8" t="n">
        <v>150</v>
      </c>
    </row>
    <row r="15" customFormat="false" ht="15" hidden="false" customHeight="false" outlineLevel="0" collapsed="false">
      <c r="A15" s="9" t="s">
        <v>21</v>
      </c>
      <c r="B15" s="10" t="s">
        <v>20</v>
      </c>
      <c r="C15" s="11" t="n">
        <v>9</v>
      </c>
      <c r="D15" s="11" t="n">
        <v>7</v>
      </c>
      <c r="E15" s="11" t="n">
        <v>5</v>
      </c>
      <c r="F15" s="12" t="n">
        <v>300</v>
      </c>
    </row>
    <row r="17" customFormat="false" ht="15" hidden="false" customHeight="false" outlineLevel="0" collapsed="false">
      <c r="A17" s="3" t="s">
        <v>22</v>
      </c>
      <c r="B17" s="3"/>
      <c r="C17" s="3"/>
      <c r="D17" s="3"/>
      <c r="E17" s="3"/>
      <c r="F17" s="3"/>
    </row>
    <row r="18" customFormat="false" ht="15" hidden="false" customHeight="false" outlineLevel="0" collapsed="false">
      <c r="A18" s="4" t="s">
        <v>23</v>
      </c>
      <c r="B18" s="4"/>
      <c r="C18" s="4" t="s">
        <v>5</v>
      </c>
      <c r="D18" s="4" t="s">
        <v>6</v>
      </c>
      <c r="E18" s="4" t="s">
        <v>7</v>
      </c>
      <c r="F18" s="4"/>
    </row>
    <row r="19" customFormat="false" ht="15" hidden="false" customHeight="false" outlineLevel="0" collapsed="false">
      <c r="A19" s="13" t="s">
        <v>24</v>
      </c>
      <c r="B19" s="14"/>
      <c r="C19" s="15" t="n">
        <v>14</v>
      </c>
      <c r="D19" s="15" t="n">
        <v>11</v>
      </c>
      <c r="E19" s="15" t="n">
        <v>8</v>
      </c>
    </row>
    <row r="21" customFormat="false" ht="15" hidden="false" customHeight="false" outlineLevel="0" collapsed="false">
      <c r="A21" s="3" t="s">
        <v>25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5" t="s">
        <v>26</v>
      </c>
      <c r="B22" s="6" t="s">
        <v>27</v>
      </c>
      <c r="C22" s="16" t="n">
        <v>30</v>
      </c>
      <c r="D22" s="17" t="s">
        <v>28</v>
      </c>
      <c r="E22" s="17"/>
      <c r="F22" s="17"/>
    </row>
    <row r="23" customFormat="false" ht="15" hidden="false" customHeight="false" outlineLevel="0" collapsed="false">
      <c r="A23" s="9" t="s">
        <v>29</v>
      </c>
      <c r="B23" s="10" t="s">
        <v>30</v>
      </c>
      <c r="C23" s="18" t="n">
        <v>250</v>
      </c>
      <c r="D23" s="19" t="s">
        <v>31</v>
      </c>
      <c r="E23" s="19"/>
      <c r="F23" s="19"/>
    </row>
    <row r="24" customFormat="false" ht="15" hidden="false" customHeight="false" outlineLevel="0" collapsed="false">
      <c r="A24" s="5" t="s">
        <v>32</v>
      </c>
      <c r="B24" s="6" t="s">
        <v>30</v>
      </c>
      <c r="C24" s="16" t="n">
        <v>110</v>
      </c>
      <c r="D24" s="17" t="s">
        <v>33</v>
      </c>
      <c r="E24" s="17"/>
      <c r="F24" s="17"/>
    </row>
    <row r="25" customFormat="false" ht="15" hidden="false" customHeight="false" outlineLevel="0" collapsed="false">
      <c r="A25" s="9" t="s">
        <v>34</v>
      </c>
      <c r="B25" s="10" t="s">
        <v>35</v>
      </c>
      <c r="C25" s="18" t="n">
        <v>0</v>
      </c>
      <c r="D25" s="19" t="s">
        <v>36</v>
      </c>
      <c r="E25" s="19"/>
      <c r="F25" s="19"/>
    </row>
    <row r="26" customFormat="false" ht="15" hidden="false" customHeight="false" outlineLevel="0" collapsed="false">
      <c r="A26" s="5" t="s">
        <v>37</v>
      </c>
      <c r="B26" s="6" t="s">
        <v>38</v>
      </c>
      <c r="C26" s="16" t="n">
        <v>1500</v>
      </c>
      <c r="D26" s="17" t="s">
        <v>39</v>
      </c>
      <c r="E26" s="17"/>
      <c r="F26" s="17"/>
    </row>
    <row r="28" customFormat="false" ht="15" hidden="false" customHeight="false" outlineLevel="0" collapsed="false">
      <c r="A28" s="20" t="s">
        <v>40</v>
      </c>
    </row>
  </sheetData>
  <mergeCells count="10">
    <mergeCell ref="A1:F1"/>
    <mergeCell ref="A2:F2"/>
    <mergeCell ref="A4:F4"/>
    <mergeCell ref="A17:F17"/>
    <mergeCell ref="A21:F21"/>
    <mergeCell ref="D22:F22"/>
    <mergeCell ref="D23:F23"/>
    <mergeCell ref="D24:F24"/>
    <mergeCell ref="D25:F25"/>
    <mergeCell ref="D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5"/>
    <col collapsed="false" customWidth="true" hidden="false" outlineLevel="0" max="4" min="4" style="0" width="30"/>
  </cols>
  <sheetData>
    <row r="1" customFormat="false" ht="25.5" hidden="false" customHeight="true" outlineLevel="0" collapsed="false">
      <c r="A1" s="1" t="s">
        <v>41</v>
      </c>
      <c r="B1" s="1"/>
      <c r="C1" s="1"/>
      <c r="D1" s="1"/>
    </row>
    <row r="2" customFormat="false" ht="15" hidden="false" customHeight="false" outlineLevel="0" collapsed="false">
      <c r="A2" s="2" t="s">
        <v>42</v>
      </c>
      <c r="B2" s="2"/>
      <c r="C2" s="2"/>
      <c r="D2" s="2"/>
    </row>
    <row r="4" customFormat="false" ht="15" hidden="false" customHeight="false" outlineLevel="0" collapsed="false">
      <c r="A4" s="21" t="s">
        <v>43</v>
      </c>
      <c r="B4" s="21"/>
      <c r="C4" s="21"/>
      <c r="D4" s="21"/>
    </row>
    <row r="5" customFormat="false" ht="15" hidden="false" customHeight="false" outlineLevel="0" collapsed="false">
      <c r="A5" s="22" t="s">
        <v>44</v>
      </c>
      <c r="B5" s="23" t="n">
        <v>120</v>
      </c>
    </row>
    <row r="6" customFormat="false" ht="15" hidden="false" customHeight="false" outlineLevel="0" collapsed="false">
      <c r="A6" s="22" t="s">
        <v>45</v>
      </c>
      <c r="B6" s="23" t="n">
        <v>30</v>
      </c>
    </row>
    <row r="7" customFormat="false" ht="15" hidden="false" customHeight="false" outlineLevel="0" collapsed="false">
      <c r="A7" s="22" t="s">
        <v>46</v>
      </c>
      <c r="B7" s="23" t="n">
        <v>20</v>
      </c>
    </row>
    <row r="8" customFormat="false" ht="15" hidden="false" customHeight="false" outlineLevel="0" collapsed="false">
      <c r="A8" s="22" t="s">
        <v>47</v>
      </c>
      <c r="B8" s="23" t="n">
        <v>1</v>
      </c>
    </row>
    <row r="9" customFormat="false" ht="15" hidden="false" customHeight="false" outlineLevel="0" collapsed="false">
      <c r="A9" s="22" t="s">
        <v>48</v>
      </c>
      <c r="B9" s="23" t="n">
        <v>0</v>
      </c>
    </row>
    <row r="11" customFormat="false" ht="15" hidden="false" customHeight="false" outlineLevel="0" collapsed="false">
      <c r="A11" s="21" t="s">
        <v>49</v>
      </c>
      <c r="B11" s="21"/>
      <c r="C11" s="21"/>
      <c r="D11" s="21"/>
    </row>
    <row r="12" customFormat="false" ht="15" hidden="false" customHeight="false" outlineLevel="0" collapsed="false">
      <c r="A12" s="22" t="s">
        <v>50</v>
      </c>
      <c r="B12" s="24" t="n">
        <f aca="false">IF($B$6&lt;=5,Ceník!C19,IF($B$6&lt;=20,Ceník!D19,Ceník!E19))</f>
        <v>8</v>
      </c>
    </row>
    <row r="13" customFormat="false" ht="15" hidden="false" customHeight="false" outlineLevel="0" collapsed="false">
      <c r="A13" s="5" t="s">
        <v>51</v>
      </c>
      <c r="B13" s="8" t="n">
        <f aca="false">$B$5*$B$12*$B$6</f>
        <v>28800</v>
      </c>
      <c r="C13" s="25"/>
      <c r="D13" s="25"/>
    </row>
    <row r="14" customFormat="false" ht="15" hidden="false" customHeight="false" outlineLevel="0" collapsed="false">
      <c r="A14" s="5" t="s">
        <v>52</v>
      </c>
      <c r="B14" s="8" t="n">
        <f aca="false">IF($B$7&lt;=50,0,$B$7*Ceník!C22)*(1+$B$8)</f>
        <v>0</v>
      </c>
      <c r="C14" s="25"/>
      <c r="D14" s="25"/>
    </row>
    <row r="15" customFormat="false" ht="15" hidden="false" customHeight="false" outlineLevel="0" collapsed="false">
      <c r="A15" s="5" t="s">
        <v>53</v>
      </c>
      <c r="B15" s="8" t="n">
        <f aca="false">IF($B$9=1,$B$5*(Ceník!C23+Ceník!C24),0)</f>
        <v>0</v>
      </c>
      <c r="C15" s="25"/>
      <c r="D15" s="25"/>
    </row>
    <row r="16" customFormat="false" ht="15" hidden="false" customHeight="false" outlineLevel="0" collapsed="false">
      <c r="A16" s="26" t="s">
        <v>54</v>
      </c>
      <c r="B16" s="27" t="n">
        <f aca="false">MAX($B$13+$B$14+$B$15,Ceník!C26)</f>
        <v>28800</v>
      </c>
      <c r="C16" s="28"/>
      <c r="D16" s="28"/>
    </row>
    <row r="17" customFormat="false" ht="15" hidden="false" customHeight="false" outlineLevel="0" collapsed="false">
      <c r="A17" s="5" t="s">
        <v>55</v>
      </c>
      <c r="B17" s="8" t="n">
        <f aca="false">$B$16*0.21</f>
        <v>6048</v>
      </c>
      <c r="C17" s="25"/>
      <c r="D17" s="25"/>
    </row>
    <row r="18" customFormat="false" ht="15" hidden="false" customHeight="false" outlineLevel="0" collapsed="false">
      <c r="A18" s="29" t="s">
        <v>56</v>
      </c>
      <c r="B18" s="30" t="n">
        <f aca="false">$B$16+$B$17</f>
        <v>34848</v>
      </c>
      <c r="C18" s="31"/>
      <c r="D18" s="31"/>
    </row>
    <row r="20" customFormat="false" ht="15" hidden="false" customHeight="false" outlineLevel="0" collapsed="false">
      <c r="A20" s="21" t="s">
        <v>57</v>
      </c>
      <c r="B20" s="21"/>
      <c r="C20" s="21"/>
      <c r="D20" s="21"/>
    </row>
    <row r="21" customFormat="false" ht="15" hidden="false" customHeight="false" outlineLevel="0" collapsed="false">
      <c r="A21" s="4" t="s">
        <v>3</v>
      </c>
      <c r="B21" s="4" t="s">
        <v>58</v>
      </c>
      <c r="C21" s="4" t="s">
        <v>59</v>
      </c>
      <c r="D21" s="4" t="s">
        <v>60</v>
      </c>
    </row>
    <row r="22" customFormat="false" ht="15" hidden="false" customHeight="false" outlineLevel="0" collapsed="false">
      <c r="A22" s="5" t="s">
        <v>61</v>
      </c>
      <c r="B22" s="32" t="n">
        <f aca="false">$B$5*C22</f>
        <v>84</v>
      </c>
      <c r="C22" s="33" t="n">
        <v>0.7</v>
      </c>
      <c r="D22" s="34" t="s">
        <v>62</v>
      </c>
    </row>
    <row r="23" customFormat="false" ht="15" hidden="false" customHeight="false" outlineLevel="0" collapsed="false">
      <c r="A23" s="9" t="s">
        <v>63</v>
      </c>
      <c r="B23" s="35" t="n">
        <f aca="false">$B$5*C23</f>
        <v>36</v>
      </c>
      <c r="C23" s="36" t="n">
        <v>0.3</v>
      </c>
      <c r="D23" s="37"/>
    </row>
    <row r="24" customFormat="false" ht="15" hidden="false" customHeight="false" outlineLevel="0" collapsed="false">
      <c r="A24" s="5" t="s">
        <v>64</v>
      </c>
      <c r="B24" s="38" t="n">
        <f aca="false">$B$5*C24</f>
        <v>324</v>
      </c>
      <c r="C24" s="33" t="n">
        <v>2.7</v>
      </c>
      <c r="D24" s="34" t="s">
        <v>65</v>
      </c>
    </row>
    <row r="25" customFormat="false" ht="15" hidden="false" customHeight="false" outlineLevel="0" collapsed="false">
      <c r="A25" s="9" t="s">
        <v>66</v>
      </c>
      <c r="B25" s="39" t="n">
        <f aca="false">$B$5*C25</f>
        <v>132</v>
      </c>
      <c r="C25" s="36" t="n">
        <v>1.1</v>
      </c>
      <c r="D25" s="37" t="s">
        <v>67</v>
      </c>
    </row>
    <row r="27" customFormat="false" ht="15" hidden="false" customHeight="false" outlineLevel="0" collapsed="false">
      <c r="A27" s="20" t="s">
        <v>68</v>
      </c>
    </row>
  </sheetData>
  <mergeCells count="5">
    <mergeCell ref="A1:D1"/>
    <mergeCell ref="A2:D2"/>
    <mergeCell ref="A4:D4"/>
    <mergeCell ref="A11:D11"/>
    <mergeCell ref="A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2026-06-20T08:36:44Z</dcterms:created>
  <dc:creator>openpyxl</dc:creator>
  <dc:description/>
  <dc:language>en-US</dc:language>
  <cp:lastModifiedBy/>
  <dcterms:modified xsi:type="dcterms:W3CDTF">2026-06-20T08:36:44Z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